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HP Weight Matrix" sheetId="2" state="visible" r:id="rId2"/>
    <sheet name="TOPSIS Engine" sheetId="3" state="visible" r:id="rId3"/>
    <sheet name="Interactive Produce Sim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000%"/>
    <numFmt numFmtId="167" formatCode="0.0"/>
    <numFmt numFmtId="168" formatCode="0.0 &quot;★&quot;"/>
  </numFmts>
  <fonts count="12">
    <font>
      <name val="Calibri"/>
      <family val="2"/>
      <color theme="1"/>
      <sz val="11"/>
      <scheme val="minor"/>
    </font>
    <font>
      <name val="Calibri"/>
      <b val="1"/>
      <color rgb="001F4D3A"/>
      <sz val="16"/>
    </font>
    <font>
      <name val="Calibri"/>
      <i val="1"/>
      <color rgb="00555555"/>
      <sz val="11"/>
    </font>
    <font>
      <name val="Calibri"/>
      <b val="1"/>
      <color rgb="001F4D3A"/>
      <sz val="11"/>
    </font>
    <font>
      <name val="Calibri"/>
      <b val="1"/>
      <color rgb="001F4D3A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137333"/>
      <sz val="10"/>
    </font>
    <font>
      <name val="Calibri"/>
      <b val="1"/>
      <color rgb="001F4D3A"/>
      <sz val="12"/>
    </font>
    <font>
      <name val="Calibri"/>
      <b val="1"/>
      <color rgb="00137333"/>
      <sz val="11"/>
    </font>
  </fonts>
  <fills count="9">
    <fill>
      <patternFill/>
    </fill>
    <fill>
      <patternFill patternType="gray125"/>
    </fill>
    <fill>
      <patternFill patternType="solid">
        <fgColor rgb="00E2EFE9"/>
        <bgColor rgb="00E2EFE9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1F4D3A"/>
        <bgColor rgb="001F4D3A"/>
      </patternFill>
    </fill>
    <fill>
      <patternFill patternType="solid">
        <fgColor rgb="00F1F0EC"/>
        <bgColor rgb="00F1F0EC"/>
      </patternFill>
    </fill>
    <fill>
      <patternFill patternType="solid">
        <fgColor rgb="00C86D51"/>
        <bgColor rgb="00C86D51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  <border>
      <left style="thin">
        <color rgb="000E281E"/>
      </left>
      <right style="thin">
        <color rgb="000E281E"/>
      </right>
      <top style="thin">
        <color rgb="000E281E"/>
      </top>
      <bottom style="medium">
        <color rgb="000E281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165" fontId="6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7" fillId="2" borderId="1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166" fontId="7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7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7" fillId="0" borderId="1" applyAlignment="1" pivotButton="0" quotePrefix="0" xfId="0">
      <alignment horizontal="center" vertical="center"/>
    </xf>
    <xf numFmtId="164" fontId="7" fillId="2" borderId="1" pivotButton="0" quotePrefix="0" xfId="0"/>
    <xf numFmtId="0" fontId="7" fillId="8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1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4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34" customWidth="1" min="10" max="10"/>
  </cols>
  <sheetData>
    <row r="2">
      <c r="B2" s="1" t="inlineStr">
        <is>
          <t>Agrivive Decision Support System — AHP-TOPSIS Engine</t>
        </is>
      </c>
    </row>
    <row r="3">
      <c r="B3" s="2" t="inlineStr">
        <is>
          <t>Davao City Marketable Surplus Vegetable Ranking Simulation &amp; Verification Model</t>
        </is>
      </c>
    </row>
    <row r="5">
      <c r="B5" s="3" t="inlineStr">
        <is>
          <t>Active Produce Batches
6 Items</t>
        </is>
      </c>
      <c r="C5" s="4" t="n"/>
      <c r="E5" s="3" t="inlineStr">
        <is>
          <t>Evaluated Criteria
4 Criteria</t>
        </is>
      </c>
      <c r="F5" s="4" t="n"/>
      <c r="H5" s="5" t="inlineStr">
        <is>
          <t>Consistency Ratio (CR)
0.000% (Pass)</t>
        </is>
      </c>
      <c r="I5" s="4" t="n"/>
      <c r="K5" s="6" t="inlineStr">
        <is>
          <t>Priority Boost Cutoff
Ci* &gt;= 0.600</t>
        </is>
      </c>
      <c r="L5" s="4" t="n"/>
    </row>
    <row r="6">
      <c r="B6" s="4" t="n"/>
      <c r="C6" s="4" t="n"/>
      <c r="E6" s="4" t="n"/>
      <c r="F6" s="4" t="n"/>
      <c r="H6" s="4" t="n"/>
      <c r="I6" s="4" t="n"/>
      <c r="K6" s="4" t="n"/>
      <c r="L6" s="4" t="n"/>
    </row>
    <row r="8">
      <c r="B8" s="7" t="inlineStr">
        <is>
          <t>Summary of Live Produce Rankings in Marketplace Feed</t>
        </is>
      </c>
    </row>
    <row r="9">
      <c r="B9" s="8" t="inlineStr">
        <is>
          <t>Rank</t>
        </is>
      </c>
      <c r="C9" s="8" t="inlineStr">
        <is>
          <t>Listing Code</t>
        </is>
      </c>
      <c r="D9" s="8" t="inlineStr">
        <is>
          <t>Produce &amp; Variety</t>
        </is>
      </c>
      <c r="E9" s="8" t="inlineStr">
        <is>
          <t>Market Location</t>
        </is>
      </c>
      <c r="F9" s="8" t="inlineStr">
        <is>
          <t>Remaining Stock</t>
        </is>
      </c>
      <c r="G9" s="8" t="inlineStr">
        <is>
          <t>Publication Age</t>
        </is>
      </c>
      <c r="H9" s="8" t="inlineStr">
        <is>
          <t>Closeness (Ci*)</t>
        </is>
      </c>
      <c r="I9" s="8" t="inlineStr">
        <is>
          <t>Marketplace Tier</t>
        </is>
      </c>
      <c r="J9" s="8" t="inlineStr">
        <is>
          <t>Platform Promotion Action</t>
        </is>
      </c>
    </row>
    <row r="10">
      <c r="B10" s="9">
        <f>'TOPSIS Engine'!AD7</f>
        <v/>
      </c>
      <c r="C10" s="9">
        <f>'TOPSIS Engine'!B7</f>
        <v/>
      </c>
      <c r="D10" s="10">
        <f>'TOPSIS Engine'!C7</f>
        <v/>
      </c>
      <c r="E10" s="10">
        <f>'TOPSIS Engine'!D7</f>
        <v/>
      </c>
      <c r="F10" s="9">
        <f>'TOPSIS Engine'!F7 &amp; " kg / " &amp; 'TOPSIS Engine'!G7 &amp; " kg"</f>
        <v/>
      </c>
      <c r="G10" s="9">
        <f>'TOPSIS Engine'!E7 &amp; " hrs ago"</f>
        <v/>
      </c>
      <c r="H10" s="11">
        <f>'TOPSIS Engine'!AA7</f>
        <v/>
      </c>
      <c r="I10" s="9">
        <f>'TOPSIS Engine'!AB7</f>
        <v/>
      </c>
      <c r="J10" s="10">
        <f>'TOPSIS Engine'!AC7</f>
        <v/>
      </c>
    </row>
    <row r="11">
      <c r="B11" s="12">
        <f>'TOPSIS Engine'!AD8</f>
        <v/>
      </c>
      <c r="C11" s="12">
        <f>'TOPSIS Engine'!B8</f>
        <v/>
      </c>
      <c r="D11" s="13">
        <f>'TOPSIS Engine'!C8</f>
        <v/>
      </c>
      <c r="E11" s="13">
        <f>'TOPSIS Engine'!D8</f>
        <v/>
      </c>
      <c r="F11" s="12">
        <f>'TOPSIS Engine'!F8 &amp; " kg / " &amp; 'TOPSIS Engine'!G8 &amp; " kg"</f>
        <v/>
      </c>
      <c r="G11" s="12">
        <f>'TOPSIS Engine'!E8 &amp; " hrs ago"</f>
        <v/>
      </c>
      <c r="H11" s="14">
        <f>'TOPSIS Engine'!AA8</f>
        <v/>
      </c>
      <c r="I11" s="12">
        <f>'TOPSIS Engine'!AB8</f>
        <v/>
      </c>
      <c r="J11" s="13">
        <f>'TOPSIS Engine'!AC8</f>
        <v/>
      </c>
    </row>
    <row r="12">
      <c r="B12" s="9">
        <f>'TOPSIS Engine'!AD9</f>
        <v/>
      </c>
      <c r="C12" s="9">
        <f>'TOPSIS Engine'!B9</f>
        <v/>
      </c>
      <c r="D12" s="10">
        <f>'TOPSIS Engine'!C9</f>
        <v/>
      </c>
      <c r="E12" s="10">
        <f>'TOPSIS Engine'!D9</f>
        <v/>
      </c>
      <c r="F12" s="9">
        <f>'TOPSIS Engine'!F9 &amp; " kg / " &amp; 'TOPSIS Engine'!G9 &amp; " kg"</f>
        <v/>
      </c>
      <c r="G12" s="9">
        <f>'TOPSIS Engine'!E9 &amp; " hrs ago"</f>
        <v/>
      </c>
      <c r="H12" s="11">
        <f>'TOPSIS Engine'!AA9</f>
        <v/>
      </c>
      <c r="I12" s="9">
        <f>'TOPSIS Engine'!AB9</f>
        <v/>
      </c>
      <c r="J12" s="10">
        <f>'TOPSIS Engine'!AC9</f>
        <v/>
      </c>
    </row>
    <row r="13">
      <c r="B13" s="12">
        <f>'TOPSIS Engine'!AD10</f>
        <v/>
      </c>
      <c r="C13" s="12">
        <f>'TOPSIS Engine'!B10</f>
        <v/>
      </c>
      <c r="D13" s="13">
        <f>'TOPSIS Engine'!C10</f>
        <v/>
      </c>
      <c r="E13" s="13">
        <f>'TOPSIS Engine'!D10</f>
        <v/>
      </c>
      <c r="F13" s="12">
        <f>'TOPSIS Engine'!F10 &amp; " kg / " &amp; 'TOPSIS Engine'!G10 &amp; " kg"</f>
        <v/>
      </c>
      <c r="G13" s="12">
        <f>'TOPSIS Engine'!E10 &amp; " hrs ago"</f>
        <v/>
      </c>
      <c r="H13" s="14">
        <f>'TOPSIS Engine'!AA10</f>
        <v/>
      </c>
      <c r="I13" s="12">
        <f>'TOPSIS Engine'!AB10</f>
        <v/>
      </c>
      <c r="J13" s="13">
        <f>'TOPSIS Engine'!AC10</f>
        <v/>
      </c>
    </row>
    <row r="14">
      <c r="B14" s="9">
        <f>'TOPSIS Engine'!AD11</f>
        <v/>
      </c>
      <c r="C14" s="9">
        <f>'TOPSIS Engine'!B11</f>
        <v/>
      </c>
      <c r="D14" s="10">
        <f>'TOPSIS Engine'!C11</f>
        <v/>
      </c>
      <c r="E14" s="10">
        <f>'TOPSIS Engine'!D11</f>
        <v/>
      </c>
      <c r="F14" s="9">
        <f>'TOPSIS Engine'!F11 &amp; " kg / " &amp; 'TOPSIS Engine'!G11 &amp; " kg"</f>
        <v/>
      </c>
      <c r="G14" s="9">
        <f>'TOPSIS Engine'!E11 &amp; " hrs ago"</f>
        <v/>
      </c>
      <c r="H14" s="11">
        <f>'TOPSIS Engine'!AA11</f>
        <v/>
      </c>
      <c r="I14" s="9">
        <f>'TOPSIS Engine'!AB11</f>
        <v/>
      </c>
      <c r="J14" s="10">
        <f>'TOPSIS Engine'!AC11</f>
        <v/>
      </c>
    </row>
    <row r="15">
      <c r="B15" s="12">
        <f>'TOPSIS Engine'!AD12</f>
        <v/>
      </c>
      <c r="C15" s="12">
        <f>'TOPSIS Engine'!B12</f>
        <v/>
      </c>
      <c r="D15" s="13">
        <f>'TOPSIS Engine'!C12</f>
        <v/>
      </c>
      <c r="E15" s="13">
        <f>'TOPSIS Engine'!D12</f>
        <v/>
      </c>
      <c r="F15" s="12">
        <f>'TOPSIS Engine'!F12 &amp; " kg / " &amp; 'TOPSIS Engine'!G12 &amp; " kg"</f>
        <v/>
      </c>
      <c r="G15" s="12">
        <f>'TOPSIS Engine'!E12 &amp; " hrs ago"</f>
        <v/>
      </c>
      <c r="H15" s="14">
        <f>'TOPSIS Engine'!AA12</f>
        <v/>
      </c>
      <c r="I15" s="12">
        <f>'TOPSIS Engine'!AB12</f>
        <v/>
      </c>
      <c r="J15" s="13">
        <f>'TOPSIS Engine'!AC12</f>
        <v/>
      </c>
    </row>
    <row r="17">
      <c r="B17" s="15" t="inlineStr">
        <is>
          <t>Algorithm &amp; Threshold Notes:</t>
        </is>
      </c>
    </row>
    <row r="18">
      <c r="B18" s="16" t="inlineStr">
        <is>
          <t>1. Priority Boost (Ci* &gt;= 0.60): Produce is pushed to top of feed with priority banner; qualifies for 1-tap n8n automated social posting.</t>
        </is>
      </c>
    </row>
    <row r="19">
      <c r="B19" s="16" t="inlineStr">
        <is>
          <t>2. Standard Exposure (0.40 &lt;= Ci* &lt; 0.60): Standard catalog discovery in search and categories.</t>
        </is>
      </c>
    </row>
    <row r="20">
      <c r="B20" s="16" t="inlineStr">
        <is>
          <t>3. Basic / Hold (Ci* &lt; 0.40): Retained in catalog; deprioritized until updated by seller or price reduced.</t>
        </is>
      </c>
    </row>
    <row r="21">
      <c r="B21" s="16" t="inlineStr">
        <is>
          <t>4. All calculations update dynamically when data on the 'TOPSIS Engine' or 'AHP Weight Matrix' sheets change.</t>
        </is>
      </c>
    </row>
  </sheetData>
  <mergeCells count="4">
    <mergeCell ref="H5:I6"/>
    <mergeCell ref="E5:F6"/>
    <mergeCell ref="K5:L6"/>
    <mergeCell ref="B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8" customWidth="1" min="10" max="10"/>
  </cols>
  <sheetData>
    <row r="2">
      <c r="B2" s="1" t="inlineStr">
        <is>
          <t>Phase 1: Analytic Hierarchy Process (AHP) Weight Derivation</t>
        </is>
      </c>
    </row>
    <row r="3">
      <c r="B3" s="2" t="inlineStr">
        <is>
          <t>Pairwise Comparison Matrix (A = [a_jk]), Geometric Means, and Consistency Ratio (CR) Check</t>
        </is>
      </c>
    </row>
    <row r="5">
      <c r="B5" s="7" t="inlineStr">
        <is>
          <t>Pairwise Comparison Matrix (Saaty 1–9 Fundamental Scale)</t>
        </is>
      </c>
    </row>
    <row r="6">
      <c r="B6" s="8" t="inlineStr">
        <is>
          <t>Criteria</t>
        </is>
      </c>
      <c r="C6" s="8" t="inlineStr">
        <is>
          <t>C1: Freshness</t>
        </is>
      </c>
      <c r="D6" s="8" t="inlineStr">
        <is>
          <t>C2: Stock Qty</t>
        </is>
      </c>
      <c r="E6" s="8" t="inlineStr">
        <is>
          <t>C3: Seller Trust</t>
        </is>
      </c>
      <c r="F6" s="8" t="inlineStr">
        <is>
          <t>C4: Recurrence</t>
        </is>
      </c>
      <c r="G6" s="8" t="inlineStr">
        <is>
          <t>Geometric Mean</t>
        </is>
      </c>
      <c r="H6" s="8" t="inlineStr">
        <is>
          <t>Normalized Weight (w)</t>
        </is>
      </c>
      <c r="I6" s="8" t="inlineStr">
        <is>
          <t>Weighted Sum (s)</t>
        </is>
      </c>
      <c r="J6" s="8" t="inlineStr">
        <is>
          <t>Eigenvalue Ratio (λ)</t>
        </is>
      </c>
    </row>
    <row r="7">
      <c r="B7" s="10" t="inlineStr">
        <is>
          <t>C1: Freshness (12h Decay)</t>
        </is>
      </c>
      <c r="C7" s="17" t="n">
        <v>1</v>
      </c>
      <c r="D7" s="17" t="n">
        <v>1.333333</v>
      </c>
      <c r="E7" s="17" t="n">
        <v>2</v>
      </c>
      <c r="F7" s="17" t="n">
        <v>4</v>
      </c>
      <c r="G7" s="11">
        <f>POWER(C7*D7*E7*F7, 1/4)</f>
        <v/>
      </c>
      <c r="H7" s="11">
        <f>G7/$G$11</f>
        <v/>
      </c>
      <c r="I7" s="11">
        <f>C7*$H$7 + D7*$H$8 + E7*$H$9 + F7*$H$10</f>
        <v/>
      </c>
      <c r="J7" s="11">
        <f>I7/H7</f>
        <v/>
      </c>
    </row>
    <row r="8">
      <c r="B8" s="10" t="inlineStr">
        <is>
          <t>C2: Stock Availability (Ratio)</t>
        </is>
      </c>
      <c r="C8" s="17" t="n">
        <v>0.75</v>
      </c>
      <c r="D8" s="17" t="n">
        <v>1</v>
      </c>
      <c r="E8" s="17" t="n">
        <v>1.5</v>
      </c>
      <c r="F8" s="17" t="n">
        <v>3</v>
      </c>
      <c r="G8" s="11">
        <f>POWER(C8*D8*E8*F8, 1/4)</f>
        <v/>
      </c>
      <c r="H8" s="11">
        <f>G8/$G$11</f>
        <v/>
      </c>
      <c r="I8" s="11">
        <f>C8*$H$7 + D8*$H$8 + E8*$H$9 + F8*$H$10</f>
        <v/>
      </c>
      <c r="J8" s="11">
        <f>I8/H8</f>
        <v/>
      </c>
    </row>
    <row r="9">
      <c r="B9" s="10" t="inlineStr">
        <is>
          <t>C3: Seller Reliability (Stars)</t>
        </is>
      </c>
      <c r="C9" s="17" t="n">
        <v>0.5</v>
      </c>
      <c r="D9" s="17" t="n">
        <v>0.666667</v>
      </c>
      <c r="E9" s="17" t="n">
        <v>1</v>
      </c>
      <c r="F9" s="17" t="n">
        <v>2</v>
      </c>
      <c r="G9" s="11">
        <f>POWER(C9*D9*E9*F9, 1/4)</f>
        <v/>
      </c>
      <c r="H9" s="11">
        <f>G9/$G$11</f>
        <v/>
      </c>
      <c r="I9" s="11">
        <f>C9*$H$7 + D9*$H$8 + E9*$H$9 + F9*$H$10</f>
        <v/>
      </c>
      <c r="J9" s="11">
        <f>I9/H9</f>
        <v/>
      </c>
    </row>
    <row r="10">
      <c r="B10" s="10" t="inlineStr">
        <is>
          <t>C4: Recurrence (Prior Cycles)</t>
        </is>
      </c>
      <c r="C10" s="17" t="n">
        <v>0.25</v>
      </c>
      <c r="D10" s="17" t="n">
        <v>0.333333</v>
      </c>
      <c r="E10" s="17" t="n">
        <v>0.5</v>
      </c>
      <c r="F10" s="17" t="n">
        <v>1</v>
      </c>
      <c r="G10" s="11">
        <f>POWER(C10*D10*E10*F10, 1/4)</f>
        <v/>
      </c>
      <c r="H10" s="11">
        <f>G10/$G$11</f>
        <v/>
      </c>
      <c r="I10" s="11">
        <f>C10*$H$7 + D10*$H$8 + E10*$H$9 + F10*$H$10</f>
        <v/>
      </c>
      <c r="J10" s="11">
        <f>I10/H10</f>
        <v/>
      </c>
    </row>
    <row r="11">
      <c r="B11" s="18" t="inlineStr">
        <is>
          <t>Sum Total</t>
        </is>
      </c>
      <c r="C11" s="19" t="n"/>
      <c r="D11" s="19" t="n"/>
      <c r="E11" s="19" t="n"/>
      <c r="F11" s="19" t="n"/>
      <c r="G11" s="20">
        <f>SUM(G7:G10)</f>
        <v/>
      </c>
      <c r="H11" s="20">
        <f>SUM(H7:H10)</f>
        <v/>
      </c>
      <c r="I11" s="19" t="n"/>
      <c r="J11" s="19" t="n"/>
    </row>
    <row r="13">
      <c r="B13" s="7" t="inlineStr">
        <is>
          <t>Mathematical Consistency Verification (Saaty Method)</t>
        </is>
      </c>
    </row>
    <row r="14">
      <c r="B14" s="21" t="inlineStr">
        <is>
          <t>Principal Eigenvalue (λmax)</t>
        </is>
      </c>
      <c r="C14" s="22">
        <f>AVERAGE(J7:J10)</f>
        <v/>
      </c>
      <c r="D14" s="23" t="inlineStr">
        <is>
          <t>Must equal or exceed m=4</t>
        </is>
      </c>
    </row>
    <row r="15">
      <c r="B15" s="21" t="inlineStr">
        <is>
          <t>Matrix Dimension (m)</t>
        </is>
      </c>
      <c r="C15" s="22" t="inlineStr">
        <is>
          <t>4</t>
        </is>
      </c>
      <c r="D15" s="23" t="inlineStr">
        <is>
          <t>Four evaluated criteria</t>
        </is>
      </c>
    </row>
    <row r="16">
      <c r="B16" s="21" t="inlineStr">
        <is>
          <t>Consistency Index (CI = [λmax - m] / [m - 1])</t>
        </is>
      </c>
      <c r="C16" s="22">
        <f>(C14-C15)/(C15-1)</f>
        <v/>
      </c>
      <c r="D16" s="23" t="inlineStr">
        <is>
          <t>Degree of logical deviation</t>
        </is>
      </c>
    </row>
    <row r="17">
      <c r="B17" s="21" t="inlineStr">
        <is>
          <t>Random Index (RI for m=4)</t>
        </is>
      </c>
      <c r="C17" s="22" t="inlineStr">
        <is>
          <t>0.90</t>
        </is>
      </c>
      <c r="D17" s="23" t="inlineStr">
        <is>
          <t>Saaty empirical random benchmark</t>
        </is>
      </c>
    </row>
    <row r="18">
      <c r="B18" s="21" t="inlineStr">
        <is>
          <t>Consistency Ratio (CR = CI / RI)</t>
        </is>
      </c>
      <c r="C18" s="24">
        <f>C16/C17</f>
        <v/>
      </c>
      <c r="D18" s="23" t="inlineStr">
        <is>
          <t>Must be &lt; 10% (0.10) to be valid</t>
        </is>
      </c>
    </row>
    <row r="19">
      <c r="B19" s="21" t="inlineStr">
        <is>
          <t>Matrix Consistency Status</t>
        </is>
      </c>
      <c r="C19" s="25">
        <f>IF(C18&lt;=0.1, "PASSED (CR &lt; 0.10 — Completely Valid &amp; Transitive)", "FAILED (Re-evaluate judgments)")</f>
        <v/>
      </c>
      <c r="D19" s="23" t="inlineStr">
        <is>
          <t>Verification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D15"/>
  <sheetViews>
    <sheetView showGridLines="1"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24" customWidth="1" min="4" max="4"/>
    <col width="12" customWidth="1" min="5" max="5"/>
    <col width="15" customWidth="1" min="6" max="6"/>
    <col width="15" customWidth="1" min="7" max="7"/>
    <col width="16" customWidth="1" min="8" max="8"/>
    <col width="14" customWidth="1" min="9" max="9"/>
    <col width="16" customWidth="1" min="11" max="11"/>
    <col width="16" customWidth="1" min="12" max="12"/>
    <col width="16" customWidth="1" min="13" max="13"/>
    <col width="16" customWidth="1" min="14" max="14"/>
    <col width="14" customWidth="1" min="16" max="16"/>
    <col width="14" customWidth="1" min="17" max="17"/>
    <col width="14" customWidth="1" min="18" max="18"/>
    <col width="14" customWidth="1" min="19" max="19"/>
    <col width="15" customWidth="1" min="21" max="21"/>
    <col width="15" customWidth="1" min="22" max="22"/>
    <col width="15" customWidth="1" min="23" max="23"/>
    <col width="15" customWidth="1" min="24" max="24"/>
    <col width="16" customWidth="1" min="25" max="25"/>
    <col width="16" customWidth="1" min="26" max="26"/>
    <col width="16" customWidth="1" min="27" max="27"/>
    <col width="18" customWidth="1" min="28" max="28"/>
    <col width="30" customWidth="1" min="29" max="29"/>
    <col width="12" customWidth="1" min="30" max="30"/>
  </cols>
  <sheetData>
    <row r="2">
      <c r="B2" s="1" t="inlineStr">
        <is>
          <t>Phase 2: TOPSIS Ranking and Closeness Computation</t>
        </is>
      </c>
    </row>
    <row r="3">
      <c r="B3" s="2" t="inlineStr">
        <is>
          <t>Step-by-step vector normalization, ideal separation distances, and relative closeness (Ci*) computation</t>
        </is>
      </c>
    </row>
    <row r="5">
      <c r="B5" s="7" t="inlineStr">
        <is>
          <t>1. Raw Listing Input Data (Candidate Produce Pool)</t>
        </is>
      </c>
    </row>
    <row r="6">
      <c r="B6" s="8" t="inlineStr">
        <is>
          <t>Item ID</t>
        </is>
      </c>
      <c r="C6" s="8" t="inlineStr">
        <is>
          <t>Listing Code</t>
        </is>
      </c>
      <c r="D6" s="8" t="inlineStr">
        <is>
          <t>Market Location</t>
        </is>
      </c>
      <c r="E6" s="8" t="inlineStr">
        <is>
          <t>Age (hrs)</t>
        </is>
      </c>
      <c r="F6" s="8" t="inlineStr">
        <is>
          <t>Current Qty (kg)</t>
        </is>
      </c>
      <c r="G6" s="8" t="inlineStr">
        <is>
          <t>Original Qty (kg)</t>
        </is>
      </c>
      <c r="H6" s="8" t="inlineStr">
        <is>
          <t>Seller Stars (1-5)</t>
        </is>
      </c>
      <c r="I6" s="8" t="inlineStr">
        <is>
          <t>Prior Cycles</t>
        </is>
      </c>
      <c r="K6" s="26" t="inlineStr">
        <is>
          <t>x_i1: Freshness</t>
        </is>
      </c>
      <c r="L6" s="26" t="inlineStr">
        <is>
          <t>x_i2: Stock Ratio</t>
        </is>
      </c>
      <c r="M6" s="26" t="inlineStr">
        <is>
          <t>x_i3: Seller Trust</t>
        </is>
      </c>
      <c r="N6" s="26" t="inlineStr">
        <is>
          <t>x_i4: Recurrence</t>
        </is>
      </c>
      <c r="P6" s="8" t="inlineStr">
        <is>
          <t>r_i1 (Fresh)</t>
        </is>
      </c>
      <c r="Q6" s="8" t="inlineStr">
        <is>
          <t>r_i2 (Stock)</t>
        </is>
      </c>
      <c r="R6" s="8" t="inlineStr">
        <is>
          <t>r_i3 (Trust)</t>
        </is>
      </c>
      <c r="S6" s="8" t="inlineStr">
        <is>
          <t>r_i4 (Recurr)</t>
        </is>
      </c>
      <c r="U6" s="26" t="inlineStr">
        <is>
          <t>v_i1 (w=40%)</t>
        </is>
      </c>
      <c r="V6" s="26" t="inlineStr">
        <is>
          <t>v_i2 (w=30%)</t>
        </is>
      </c>
      <c r="W6" s="26" t="inlineStr">
        <is>
          <t>v_i3 (w=20%)</t>
        </is>
      </c>
      <c r="X6" s="26" t="inlineStr">
        <is>
          <t>v_i4 (w=10%)</t>
        </is>
      </c>
      <c r="Y6" s="8" t="inlineStr">
        <is>
          <t>Dist Ideal (D+)</t>
        </is>
      </c>
      <c r="Z6" s="8" t="inlineStr">
        <is>
          <t>Dist Worst (D-)</t>
        </is>
      </c>
      <c r="AA6" s="8" t="inlineStr">
        <is>
          <t>Closeness (Ci*)</t>
        </is>
      </c>
      <c r="AB6" s="8" t="inlineStr">
        <is>
          <t>Visibility Tier</t>
        </is>
      </c>
      <c r="AC6" s="8" t="inlineStr">
        <is>
          <t>System Action</t>
        </is>
      </c>
      <c r="AD6" s="8" t="inlineStr">
        <is>
          <t>Feed Rank</t>
        </is>
      </c>
    </row>
    <row r="7">
      <c r="B7" s="9" t="inlineStr">
        <is>
          <t>A1</t>
        </is>
      </c>
      <c r="C7" s="10" t="inlineStr">
        <is>
          <t>Kamatis (Tomatoes)</t>
        </is>
      </c>
      <c r="D7" s="10" t="inlineStr">
        <is>
          <t>Bankerohan Stall #12</t>
        </is>
      </c>
      <c r="E7" s="27" t="n">
        <v>0.5</v>
      </c>
      <c r="F7" s="27" t="n">
        <v>50</v>
      </c>
      <c r="G7" s="27" t="n">
        <v>50</v>
      </c>
      <c r="H7" s="28" t="n">
        <v>4.8</v>
      </c>
      <c r="I7" s="9" t="n">
        <v>3</v>
      </c>
      <c r="K7" s="11">
        <f>MAX(0, MIN(1, 1 - E7/12))</f>
        <v/>
      </c>
      <c r="L7" s="11">
        <f>MAX(0, MIN(1, F7/G7))</f>
        <v/>
      </c>
      <c r="M7" s="11">
        <f>IF(ISNUMBER(H7), MAX(0, MIN(1, H7/5)), 0.5)</f>
        <v/>
      </c>
      <c r="N7" s="11">
        <f>MAX(0, MIN(1, I7/3))</f>
        <v/>
      </c>
      <c r="P7" s="11">
        <f>K7/$K$13</f>
        <v/>
      </c>
      <c r="Q7" s="11">
        <f>L7/$L$13</f>
        <v/>
      </c>
      <c r="R7" s="11">
        <f>M7/$M$13</f>
        <v/>
      </c>
      <c r="S7" s="11">
        <f>N7/$N$13</f>
        <v/>
      </c>
      <c r="U7" s="11">
        <f>P7*'AHP Weight Matrix'!$H$7</f>
        <v/>
      </c>
      <c r="V7" s="11">
        <f>Q7*'AHP Weight Matrix'!$H$8</f>
        <v/>
      </c>
      <c r="W7" s="11">
        <f>R7*'AHP Weight Matrix'!$H$9</f>
        <v/>
      </c>
      <c r="X7" s="11">
        <f>S7*'AHP Weight Matrix'!$H$10</f>
        <v/>
      </c>
      <c r="Y7" s="29">
        <f>SQRT((U7-$U$14)^2 + (V7-$V$14)^2 + (W7-$W$14)^2 + (X7-$X$14)^2)</f>
        <v/>
      </c>
      <c r="Z7" s="29">
        <f>SQRT((U7-$U$15)^2 + (V7-$V$15)^2 + (W7-$W$15)^2 + (X7-$X$15)^2)</f>
        <v/>
      </c>
      <c r="AA7" s="30">
        <f>Z7/(Y7+Z7)</f>
        <v/>
      </c>
      <c r="AB7" s="31">
        <f>IF(AA7&gt;=0.6, "Priority Boost", IF(AA7&gt;=0.4, "Standard Exposure", "Basic / Hold"))</f>
        <v/>
      </c>
      <c r="AC7" s="32">
        <f>IF(AB7="Priority Boost", "Top feed pin &amp; n8n Social Boost", IF(AB7="Standard Exposure", "Organic search &amp; category browse", "Deprioritized / Seller price cut"))</f>
        <v/>
      </c>
      <c r="AD7" s="33">
        <f>RANK(AA7, $AA$7:$AA$12)</f>
        <v/>
      </c>
    </row>
    <row r="8">
      <c r="B8" s="9" t="inlineStr">
        <is>
          <t>A2</t>
        </is>
      </c>
      <c r="C8" s="10" t="inlineStr">
        <is>
          <t>Repolyo (Cabbage)</t>
        </is>
      </c>
      <c r="D8" s="10" t="inlineStr">
        <is>
          <t>Agdao Stall #08</t>
        </is>
      </c>
      <c r="E8" s="27" t="n">
        <v>2</v>
      </c>
      <c r="F8" s="27" t="n">
        <v>80</v>
      </c>
      <c r="G8" s="27" t="n">
        <v>100</v>
      </c>
      <c r="H8" s="28" t="n">
        <v>4.2</v>
      </c>
      <c r="I8" s="9" t="n">
        <v>2</v>
      </c>
      <c r="K8" s="11">
        <f>MAX(0, MIN(1, 1 - E8/12))</f>
        <v/>
      </c>
      <c r="L8" s="11">
        <f>MAX(0, MIN(1, F8/G8))</f>
        <v/>
      </c>
      <c r="M8" s="11">
        <f>IF(ISNUMBER(H8), MAX(0, MIN(1, H8/5)), 0.5)</f>
        <v/>
      </c>
      <c r="N8" s="11">
        <f>MAX(0, MIN(1, I8/3))</f>
        <v/>
      </c>
      <c r="P8" s="11">
        <f>K8/$K$13</f>
        <v/>
      </c>
      <c r="Q8" s="11">
        <f>L8/$L$13</f>
        <v/>
      </c>
      <c r="R8" s="11">
        <f>M8/$M$13</f>
        <v/>
      </c>
      <c r="S8" s="11">
        <f>N8/$N$13</f>
        <v/>
      </c>
      <c r="U8" s="11">
        <f>P8*'AHP Weight Matrix'!$H$7</f>
        <v/>
      </c>
      <c r="V8" s="11">
        <f>Q8*'AHP Weight Matrix'!$H$8</f>
        <v/>
      </c>
      <c r="W8" s="11">
        <f>R8*'AHP Weight Matrix'!$H$9</f>
        <v/>
      </c>
      <c r="X8" s="11">
        <f>S8*'AHP Weight Matrix'!$H$10</f>
        <v/>
      </c>
      <c r="Y8" s="29">
        <f>SQRT((U8-$U$14)^2 + (V8-$V$14)^2 + (W8-$W$14)^2 + (X8-$X$14)^2)</f>
        <v/>
      </c>
      <c r="Z8" s="29">
        <f>SQRT((U8-$U$15)^2 + (V8-$V$15)^2 + (W8-$W$15)^2 + (X8-$X$15)^2)</f>
        <v/>
      </c>
      <c r="AA8" s="30">
        <f>Z8/(Y8+Z8)</f>
        <v/>
      </c>
      <c r="AB8" s="31">
        <f>IF(AA8&gt;=0.6, "Priority Boost", IF(AA8&gt;=0.4, "Standard Exposure", "Basic / Hold"))</f>
        <v/>
      </c>
      <c r="AC8" s="32">
        <f>IF(AB8="Priority Boost", "Top feed pin &amp; n8n Social Boost", IF(AB8="Standard Exposure", "Organic search &amp; category browse", "Deprioritized / Seller price cut"))</f>
        <v/>
      </c>
      <c r="AD8" s="33">
        <f>RANK(AA8, $AA$7:$AA$12)</f>
        <v/>
      </c>
    </row>
    <row r="9">
      <c r="B9" s="9" t="inlineStr">
        <is>
          <t>A3</t>
        </is>
      </c>
      <c r="C9" s="10" t="inlineStr">
        <is>
          <t>Sitaw (String Beans)</t>
        </is>
      </c>
      <c r="D9" s="10" t="inlineStr">
        <is>
          <t>DFTC Bulk #03</t>
        </is>
      </c>
      <c r="E9" s="27" t="n">
        <v>1</v>
      </c>
      <c r="F9" s="27" t="n">
        <v>20</v>
      </c>
      <c r="G9" s="27" t="n">
        <v>20</v>
      </c>
      <c r="H9" s="9" t="inlineStr">
        <is>
          <t>NEW (Cold-Start)</t>
        </is>
      </c>
      <c r="I9" s="9" t="n">
        <v>0</v>
      </c>
      <c r="K9" s="11">
        <f>MAX(0, MIN(1, 1 - E9/12))</f>
        <v/>
      </c>
      <c r="L9" s="11">
        <f>MAX(0, MIN(1, F9/G9))</f>
        <v/>
      </c>
      <c r="M9" s="11">
        <f>IF(ISNUMBER(H9), MAX(0, MIN(1, H9/5)), 0.5)</f>
        <v/>
      </c>
      <c r="N9" s="11">
        <f>MAX(0, MIN(1, I9/3))</f>
        <v/>
      </c>
      <c r="P9" s="11">
        <f>K9/$K$13</f>
        <v/>
      </c>
      <c r="Q9" s="11">
        <f>L9/$L$13</f>
        <v/>
      </c>
      <c r="R9" s="11">
        <f>M9/$M$13</f>
        <v/>
      </c>
      <c r="S9" s="11">
        <f>N9/$N$13</f>
        <v/>
      </c>
      <c r="U9" s="11">
        <f>P9*'AHP Weight Matrix'!$H$7</f>
        <v/>
      </c>
      <c r="V9" s="11">
        <f>Q9*'AHP Weight Matrix'!$H$8</f>
        <v/>
      </c>
      <c r="W9" s="11">
        <f>R9*'AHP Weight Matrix'!$H$9</f>
        <v/>
      </c>
      <c r="X9" s="11">
        <f>S9*'AHP Weight Matrix'!$H$10</f>
        <v/>
      </c>
      <c r="Y9" s="29">
        <f>SQRT((U9-$U$14)^2 + (V9-$V$14)^2 + (W9-$W$14)^2 + (X9-$X$14)^2)</f>
        <v/>
      </c>
      <c r="Z9" s="29">
        <f>SQRT((U9-$U$15)^2 + (V9-$V$15)^2 + (W9-$W$15)^2 + (X9-$X$15)^2)</f>
        <v/>
      </c>
      <c r="AA9" s="30">
        <f>Z9/(Y9+Z9)</f>
        <v/>
      </c>
      <c r="AB9" s="31">
        <f>IF(AA9&gt;=0.6, "Priority Boost", IF(AA9&gt;=0.4, "Standard Exposure", "Basic / Hold"))</f>
        <v/>
      </c>
      <c r="AC9" s="32">
        <f>IF(AB9="Priority Boost", "Top feed pin &amp; n8n Social Boost", IF(AB9="Standard Exposure", "Organic search &amp; category browse", "Deprioritized / Seller price cut"))</f>
        <v/>
      </c>
      <c r="AD9" s="33">
        <f>RANK(AA9, $AA$7:$AA$12)</f>
        <v/>
      </c>
    </row>
    <row r="10">
      <c r="B10" s="9" t="inlineStr">
        <is>
          <t>A4</t>
        </is>
      </c>
      <c r="C10" s="10" t="inlineStr">
        <is>
          <t>Talong (Eggplant)</t>
        </is>
      </c>
      <c r="D10" s="10" t="inlineStr">
        <is>
          <t>Bankerohan Stall #45</t>
        </is>
      </c>
      <c r="E10" s="27" t="n">
        <v>5</v>
      </c>
      <c r="F10" s="27" t="n">
        <v>15</v>
      </c>
      <c r="G10" s="27" t="n">
        <v>30</v>
      </c>
      <c r="H10" s="28" t="n">
        <v>4</v>
      </c>
      <c r="I10" s="9" t="n">
        <v>1</v>
      </c>
      <c r="K10" s="11">
        <f>MAX(0, MIN(1, 1 - E10/12))</f>
        <v/>
      </c>
      <c r="L10" s="11">
        <f>MAX(0, MIN(1, F10/G10))</f>
        <v/>
      </c>
      <c r="M10" s="11">
        <f>IF(ISNUMBER(H10), MAX(0, MIN(1, H10/5)), 0.5)</f>
        <v/>
      </c>
      <c r="N10" s="11">
        <f>MAX(0, MIN(1, I10/3))</f>
        <v/>
      </c>
      <c r="P10" s="11">
        <f>K10/$K$13</f>
        <v/>
      </c>
      <c r="Q10" s="11">
        <f>L10/$L$13</f>
        <v/>
      </c>
      <c r="R10" s="11">
        <f>M10/$M$13</f>
        <v/>
      </c>
      <c r="S10" s="11">
        <f>N10/$N$13</f>
        <v/>
      </c>
      <c r="U10" s="11">
        <f>P10*'AHP Weight Matrix'!$H$7</f>
        <v/>
      </c>
      <c r="V10" s="11">
        <f>Q10*'AHP Weight Matrix'!$H$8</f>
        <v/>
      </c>
      <c r="W10" s="11">
        <f>R10*'AHP Weight Matrix'!$H$9</f>
        <v/>
      </c>
      <c r="X10" s="11">
        <f>S10*'AHP Weight Matrix'!$H$10</f>
        <v/>
      </c>
      <c r="Y10" s="29">
        <f>SQRT((U10-$U$14)^2 + (V10-$V$14)^2 + (W10-$W$14)^2 + (X10-$X$14)^2)</f>
        <v/>
      </c>
      <c r="Z10" s="29">
        <f>SQRT((U10-$U$15)^2 + (V10-$V$15)^2 + (W10-$W$15)^2 + (X10-$X$15)^2)</f>
        <v/>
      </c>
      <c r="AA10" s="30">
        <f>Z10/(Y10+Z10)</f>
        <v/>
      </c>
      <c r="AB10" s="31">
        <f>IF(AA10&gt;=0.6, "Priority Boost", IF(AA10&gt;=0.4, "Standard Exposure", "Basic / Hold"))</f>
        <v/>
      </c>
      <c r="AC10" s="32">
        <f>IF(AB10="Priority Boost", "Top feed pin &amp; n8n Social Boost", IF(AB10="Standard Exposure", "Organic search &amp; category browse", "Deprioritized / Seller price cut"))</f>
        <v/>
      </c>
      <c r="AD10" s="33">
        <f>RANK(AA10, $AA$7:$AA$12)</f>
        <v/>
      </c>
    </row>
    <row r="11">
      <c r="B11" s="9" t="inlineStr">
        <is>
          <t>A5</t>
        </is>
      </c>
      <c r="C11" s="10" t="inlineStr">
        <is>
          <t>Pechay (Native)</t>
        </is>
      </c>
      <c r="D11" s="10" t="inlineStr">
        <is>
          <t>Bankerohan Stall #04</t>
        </is>
      </c>
      <c r="E11" s="27" t="n">
        <v>8</v>
      </c>
      <c r="F11" s="27" t="n">
        <v>8</v>
      </c>
      <c r="G11" s="27" t="n">
        <v>25</v>
      </c>
      <c r="H11" s="28" t="n">
        <v>3.5</v>
      </c>
      <c r="I11" s="9" t="n">
        <v>3</v>
      </c>
      <c r="K11" s="11">
        <f>MAX(0, MIN(1, 1 - E11/12))</f>
        <v/>
      </c>
      <c r="L11" s="11">
        <f>MAX(0, MIN(1, F11/G11))</f>
        <v/>
      </c>
      <c r="M11" s="11">
        <f>IF(ISNUMBER(H11), MAX(0, MIN(1, H11/5)), 0.5)</f>
        <v/>
      </c>
      <c r="N11" s="11">
        <f>MAX(0, MIN(1, I11/3))</f>
        <v/>
      </c>
      <c r="P11" s="11">
        <f>K11/$K$13</f>
        <v/>
      </c>
      <c r="Q11" s="11">
        <f>L11/$L$13</f>
        <v/>
      </c>
      <c r="R11" s="11">
        <f>M11/$M$13</f>
        <v/>
      </c>
      <c r="S11" s="11">
        <f>N11/$N$13</f>
        <v/>
      </c>
      <c r="U11" s="11">
        <f>P11*'AHP Weight Matrix'!$H$7</f>
        <v/>
      </c>
      <c r="V11" s="11">
        <f>Q11*'AHP Weight Matrix'!$H$8</f>
        <v/>
      </c>
      <c r="W11" s="11">
        <f>R11*'AHP Weight Matrix'!$H$9</f>
        <v/>
      </c>
      <c r="X11" s="11">
        <f>S11*'AHP Weight Matrix'!$H$10</f>
        <v/>
      </c>
      <c r="Y11" s="29">
        <f>SQRT((U11-$U$14)^2 + (V11-$V$14)^2 + (W11-$W$14)^2 + (X11-$X$14)^2)</f>
        <v/>
      </c>
      <c r="Z11" s="29">
        <f>SQRT((U11-$U$15)^2 + (V11-$V$15)^2 + (W11-$W$15)^2 + (X11-$X$15)^2)</f>
        <v/>
      </c>
      <c r="AA11" s="30">
        <f>Z11/(Y11+Z11)</f>
        <v/>
      </c>
      <c r="AB11" s="31">
        <f>IF(AA11&gt;=0.6, "Priority Boost", IF(AA11&gt;=0.4, "Standard Exposure", "Basic / Hold"))</f>
        <v/>
      </c>
      <c r="AC11" s="32">
        <f>IF(AB11="Priority Boost", "Top feed pin &amp; n8n Social Boost", IF(AB11="Standard Exposure", "Organic search &amp; category browse", "Deprioritized / Seller price cut"))</f>
        <v/>
      </c>
      <c r="AD11" s="33">
        <f>RANK(AA11, $AA$7:$AA$12)</f>
        <v/>
      </c>
    </row>
    <row r="12">
      <c r="B12" s="9" t="inlineStr">
        <is>
          <t>A6</t>
        </is>
      </c>
      <c r="C12" s="10" t="inlineStr">
        <is>
          <t>Kalabasa (Squash)</t>
        </is>
      </c>
      <c r="D12" s="10" t="inlineStr">
        <is>
          <t>Agdao Stall #19</t>
        </is>
      </c>
      <c r="E12" s="27" t="n">
        <v>11</v>
      </c>
      <c r="F12" s="27" t="n">
        <v>3</v>
      </c>
      <c r="G12" s="27" t="n">
        <v>40</v>
      </c>
      <c r="H12" s="28" t="n">
        <v>3</v>
      </c>
      <c r="I12" s="9" t="n">
        <v>1</v>
      </c>
      <c r="K12" s="11">
        <f>MAX(0, MIN(1, 1 - E12/12))</f>
        <v/>
      </c>
      <c r="L12" s="11">
        <f>MAX(0, MIN(1, F12/G12))</f>
        <v/>
      </c>
      <c r="M12" s="11">
        <f>IF(ISNUMBER(H12), MAX(0, MIN(1, H12/5)), 0.5)</f>
        <v/>
      </c>
      <c r="N12" s="11">
        <f>MAX(0, MIN(1, I12/3))</f>
        <v/>
      </c>
      <c r="P12" s="11">
        <f>K12/$K$13</f>
        <v/>
      </c>
      <c r="Q12" s="11">
        <f>L12/$L$13</f>
        <v/>
      </c>
      <c r="R12" s="11">
        <f>M12/$M$13</f>
        <v/>
      </c>
      <c r="S12" s="11">
        <f>N12/$N$13</f>
        <v/>
      </c>
      <c r="U12" s="11">
        <f>P12*'AHP Weight Matrix'!$H$7</f>
        <v/>
      </c>
      <c r="V12" s="11">
        <f>Q12*'AHP Weight Matrix'!$H$8</f>
        <v/>
      </c>
      <c r="W12" s="11">
        <f>R12*'AHP Weight Matrix'!$H$9</f>
        <v/>
      </c>
      <c r="X12" s="11">
        <f>S12*'AHP Weight Matrix'!$H$10</f>
        <v/>
      </c>
      <c r="Y12" s="29">
        <f>SQRT((U12-$U$14)^2 + (V12-$V$14)^2 + (W12-$W$14)^2 + (X12-$X$14)^2)</f>
        <v/>
      </c>
      <c r="Z12" s="29">
        <f>SQRT((U12-$U$15)^2 + (V12-$V$15)^2 + (W12-$W$15)^2 + (X12-$X$15)^2)</f>
        <v/>
      </c>
      <c r="AA12" s="30">
        <f>Z12/(Y12+Z12)</f>
        <v/>
      </c>
      <c r="AB12" s="31">
        <f>IF(AA12&gt;=0.6, "Priority Boost", IF(AA12&gt;=0.4, "Standard Exposure", "Basic / Hold"))</f>
        <v/>
      </c>
      <c r="AC12" s="32">
        <f>IF(AB12="Priority Boost", "Top feed pin &amp; n8n Social Boost", IF(AB12="Standard Exposure", "Organic search &amp; category browse", "Deprioritized / Seller price cut"))</f>
        <v/>
      </c>
      <c r="AD12" s="33">
        <f>RANK(AA12, $AA$7:$AA$12)</f>
        <v/>
      </c>
    </row>
    <row r="13">
      <c r="J13" s="15" t="inlineStr">
        <is>
          <t>Vector Length √(Σ x²)</t>
        </is>
      </c>
      <c r="K13" s="34">
        <f>SQRT(SUMSQ(K7:K12))</f>
        <v/>
      </c>
      <c r="L13" s="34">
        <f>SQRT(SUMSQ(L7:L12))</f>
        <v/>
      </c>
      <c r="M13" s="34">
        <f>SQRT(SUMSQ(M7:M12))</f>
        <v/>
      </c>
      <c r="N13" s="34">
        <f>SQRT(SUMSQ(N7:N12))</f>
        <v/>
      </c>
    </row>
    <row r="14">
      <c r="T14" s="21" t="inlineStr">
        <is>
          <t>Positive Ideal (A+)</t>
        </is>
      </c>
      <c r="U14" s="34">
        <f>MAX(U7:U12)</f>
        <v/>
      </c>
      <c r="V14" s="34">
        <f>MAX(V7:V12)</f>
        <v/>
      </c>
      <c r="W14" s="34">
        <f>MAX(W7:W12)</f>
        <v/>
      </c>
      <c r="X14" s="34">
        <f>MAX(X7:X12)</f>
        <v/>
      </c>
    </row>
    <row r="15">
      <c r="T15" s="21" t="inlineStr">
        <is>
          <t>Negative Ideal (A-)</t>
        </is>
      </c>
      <c r="U15" s="34">
        <f>MIN(U7:U12)</f>
        <v/>
      </c>
      <c r="V15" s="34">
        <f>MIN(V7:V12)</f>
        <v/>
      </c>
      <c r="W15" s="34">
        <f>MIN(W7:W12)</f>
        <v/>
      </c>
      <c r="X15" s="34">
        <f>MIN(X7:X12)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25" customWidth="1" min="3" max="3"/>
    <col width="45" customWidth="1" min="4" max="4"/>
  </cols>
  <sheetData>
    <row r="2">
      <c r="B2" s="1" t="inlineStr">
        <is>
          <t>Interactive Surplus Vegetable Ranking Simulator</t>
        </is>
      </c>
    </row>
    <row r="3">
      <c r="B3" s="2" t="inlineStr">
        <is>
          <t>Input any custom vegetable listing parameters below to test the instant AHP-TOPSIS score and tier</t>
        </is>
      </c>
    </row>
    <row r="5">
      <c r="B5" s="7" t="inlineStr">
        <is>
          <t>Step 1: Enter Vegetable Listing Details</t>
        </is>
      </c>
    </row>
    <row r="6">
      <c r="B6" s="21" t="inlineStr">
        <is>
          <t>Produce Name &amp; Variety</t>
        </is>
      </c>
      <c r="C6" s="35" t="inlineStr">
        <is>
          <t>Sweet Corn (Mais)</t>
        </is>
      </c>
      <c r="D6" s="23" t="inlineStr">
        <is>
          <t>Text description of agricultural crop</t>
        </is>
      </c>
    </row>
    <row r="7">
      <c r="B7" s="21" t="inlineStr">
        <is>
          <t>Market Stall / Location</t>
        </is>
      </c>
      <c r="C7" s="35" t="inlineStr">
        <is>
          <t>DFTC Wholesale Bay #07</t>
        </is>
      </c>
      <c r="D7" s="23" t="inlineStr">
        <is>
          <t>Davao City trading center location</t>
        </is>
      </c>
    </row>
    <row r="8">
      <c r="B8" s="21" t="inlineStr">
        <is>
          <t>Hours Elapsed Since Harvest / Listing</t>
        </is>
      </c>
      <c r="C8" s="35" t="n">
        <v>1.5</v>
      </c>
      <c r="D8" s="23" t="inlineStr">
        <is>
          <t>Age in hours (0 to 12 hr decay window)</t>
        </is>
      </c>
    </row>
    <row r="9">
      <c r="B9" s="21" t="inlineStr">
        <is>
          <t>Current Remaining Quantity (kg)</t>
        </is>
      </c>
      <c r="C9" s="35" t="n">
        <v>45</v>
      </c>
      <c r="D9" s="23" t="inlineStr">
        <is>
          <t>Available unreserved stock in stall</t>
        </is>
      </c>
    </row>
    <row r="10">
      <c r="B10" s="21" t="inlineStr">
        <is>
          <t>Initial Declared Quantity (kg)</t>
        </is>
      </c>
      <c r="C10" s="35" t="n">
        <v>50</v>
      </c>
      <c r="D10" s="23" t="inlineStr">
        <is>
          <t>Total starting surplus batch volume</t>
        </is>
      </c>
    </row>
    <row r="11">
      <c r="B11" s="21" t="inlineStr">
        <is>
          <t>Seller Star Rating (1.0 to 5.0)</t>
        </is>
      </c>
      <c r="C11" s="35" t="n">
        <v>4.5</v>
      </c>
      <c r="D11" s="23" t="inlineStr">
        <is>
          <t>Leave empty for new seller cold-start (0.50 default)</t>
        </is>
      </c>
    </row>
    <row r="12">
      <c r="B12" s="21" t="inlineStr">
        <is>
          <t>Completed Prior Replenishment Cycles</t>
        </is>
      </c>
      <c r="C12" s="35" t="n">
        <v>2</v>
      </c>
      <c r="D12" s="23" t="inlineStr">
        <is>
          <t>Historical cycles for same crop (0 to 3+)</t>
        </is>
      </c>
    </row>
    <row r="14">
      <c r="B14" s="7" t="inlineStr">
        <is>
          <t>Step 2: Instant Computed Criteria &amp; Multi-Criteria Score</t>
        </is>
      </c>
    </row>
    <row r="15">
      <c r="B15" s="21" t="inlineStr">
        <is>
          <t>x1: Normalized Freshness Score</t>
        </is>
      </c>
      <c r="C15" s="22">
        <f>MAX(0, MIN(1, 1 - C8/12))</f>
        <v/>
      </c>
      <c r="D15" s="23" t="inlineStr">
        <is>
          <t>0.0000 (12-hour linear decay)</t>
        </is>
      </c>
    </row>
    <row r="16">
      <c r="B16" s="21" t="inlineStr">
        <is>
          <t>x2: Normalized Stock Ratio</t>
        </is>
      </c>
      <c r="C16" s="22">
        <f>MAX(0, MIN(1, C9/C10))</f>
        <v/>
      </c>
      <c r="D16" s="23" t="inlineStr">
        <is>
          <t>0.0000 (Remaining / Original)</t>
        </is>
      </c>
    </row>
    <row r="17">
      <c r="B17" s="21" t="inlineStr">
        <is>
          <t>x3: Normalized Seller Reliability</t>
        </is>
      </c>
      <c r="C17" s="22">
        <f>IF(ISNUMBER(C11), MAX(0, MIN(1, C11/5)), 0.5)</f>
        <v/>
      </c>
      <c r="D17" s="23" t="inlineStr">
        <is>
          <t>0.0000 (Rating/5 or 0.50 baseline)</t>
        </is>
      </c>
    </row>
    <row r="18">
      <c r="B18" s="21" t="inlineStr">
        <is>
          <t>x4: Normalized Surplus Recurrence</t>
        </is>
      </c>
      <c r="C18" s="22">
        <f>MAX(0, MIN(1, C12/3))</f>
        <v/>
      </c>
      <c r="D18" s="23" t="inlineStr">
        <is>
          <t>0.0000 (Cycles / 3-cycle cap)</t>
        </is>
      </c>
    </row>
    <row r="19">
      <c r="B19" s="21" t="inlineStr">
        <is>
          <t>Weighted Freshness Contribution (40%)</t>
        </is>
      </c>
      <c r="C19" s="22">
        <f>C15*'AHP Weight Matrix'!$H$7</f>
        <v/>
      </c>
      <c r="D19" s="23" t="inlineStr">
        <is>
          <t>AHP Weight w1 = 40%</t>
        </is>
      </c>
    </row>
    <row r="20">
      <c r="B20" s="21" t="inlineStr">
        <is>
          <t>Weighted Stock Contribution (30%)</t>
        </is>
      </c>
      <c r="C20" s="22">
        <f>C16*'AHP Weight Matrix'!$H$8</f>
        <v/>
      </c>
      <c r="D20" s="23" t="inlineStr">
        <is>
          <t>AHP Weight w2 = 30%</t>
        </is>
      </c>
    </row>
    <row r="21">
      <c r="B21" s="21" t="inlineStr">
        <is>
          <t>Weighted Trust Contribution (20%)</t>
        </is>
      </c>
      <c r="C21" s="22">
        <f>C17*'AHP Weight Matrix'!$H$9</f>
        <v/>
      </c>
      <c r="D21" s="23" t="inlineStr">
        <is>
          <t>AHP Weight w3 = 20%</t>
        </is>
      </c>
    </row>
    <row r="22">
      <c r="B22" s="21" t="inlineStr">
        <is>
          <t>Weighted Recurrence Contribution (10%)</t>
        </is>
      </c>
      <c r="C22" s="22">
        <f>C18*'AHP Weight Matrix'!$H$10</f>
        <v/>
      </c>
      <c r="D22" s="23" t="inlineStr">
        <is>
          <t>AHP Weight w4 = 10%</t>
        </is>
      </c>
    </row>
    <row r="23">
      <c r="B23" s="21" t="inlineStr">
        <is>
          <t>Combined Multi-Criteria Closeness (Ci*)</t>
        </is>
      </c>
      <c r="C23" s="36">
        <f>(C19+C20+C21+C22)</f>
        <v/>
      </c>
      <c r="D23" s="23" t="inlineStr">
        <is>
          <t>Normalized composite priority score</t>
        </is>
      </c>
    </row>
    <row r="24">
      <c r="B24" s="21" t="inlineStr">
        <is>
          <t>Assigned Visibility Exposure Tier</t>
        </is>
      </c>
      <c r="C24" s="37">
        <f>IF(C23&gt;=0.6, "Priority Boost (Top of Feed)", IF(C23&gt;=0.4, "Standard Exposure", "Basic / Hold"))</f>
        <v/>
      </c>
      <c r="D24" s="23" t="inlineStr">
        <is>
          <t>Marketplace exposure classification</t>
        </is>
      </c>
    </row>
    <row r="25">
      <c r="B25" s="21" t="inlineStr">
        <is>
          <t>Automated Marketing Action</t>
        </is>
      </c>
      <c r="C25" s="38">
        <f>IF(C23&gt;=0.6, "Qualifies for automated n8n Facebook/Instagram dispatches &amp; buyer alerts", "Standard catalog organic discovery only")</f>
        <v/>
      </c>
      <c r="D25" s="23" t="inlineStr">
        <is>
          <t>System promotional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2026-10-24T06:18:56Z</dcterms:created>
  <dcterms:modified xsi:type="dcterms:W3CDTF">2026-10-24T06:18:56Z</dcterms:modified>
</cp:coreProperties>
</file>